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ttings" sheetId="2" state="visible" r:id="rId4"/>
    <sheet name="Batch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<sst xmlns="http://schemas.openxmlformats.org/spreadsheetml/2006/main" count="93" uniqueCount="57">
  <si>
    <t xml:space="preserve">Operations Dashboard</t>
  </si>
  <si>
    <t xml:space="preserve">KPI</t>
  </si>
  <si>
    <t xml:space="preserve">Value</t>
  </si>
  <si>
    <t xml:space="preserve">Total batches</t>
  </si>
  <si>
    <t xml:space="preserve">Total seats</t>
  </si>
  <si>
    <t xml:space="preserve">Total enrolled</t>
  </si>
  <si>
    <t xml:space="preserve">Overall fill rate</t>
  </si>
  <si>
    <t xml:space="preserve">Total revenue (INR)</t>
  </si>
  <si>
    <t xml:space="preserve">Batches flagged LOW ENROLLMENT</t>
  </si>
  <si>
    <t xml:space="preserve">Batches FULL</t>
  </si>
  <si>
    <t xml:space="preserve">Course</t>
  </si>
  <si>
    <t xml:space="preserve">Batches</t>
  </si>
  <si>
    <t xml:space="preserve">Seats</t>
  </si>
  <si>
    <t xml:space="preserve">Enrolled</t>
  </si>
  <si>
    <t xml:space="preserve">Fill Rate</t>
  </si>
  <si>
    <t xml:space="preserve">Revenue (INR)</t>
  </si>
  <si>
    <t xml:space="preserve">Low Enrollment Batches</t>
  </si>
  <si>
    <t xml:space="preserve">Prelims Foundation</t>
  </si>
  <si>
    <t xml:space="preserve">Mains Answer Writing</t>
  </si>
  <si>
    <t xml:space="preserve">Essay and Ethics</t>
  </si>
  <si>
    <t xml:space="preserve">Current Affairs Weekly</t>
  </si>
  <si>
    <t xml:space="preserve">Optional - Geography</t>
  </si>
  <si>
    <t xml:space="preserve">Check: course batches add up to total</t>
  </si>
  <si>
    <t xml:space="preserve">Settings (edit the yellow cells)</t>
  </si>
  <si>
    <t xml:space="preserve">Rule</t>
  </si>
  <si>
    <t xml:space="preserve">Meaning</t>
  </si>
  <si>
    <t xml:space="preserve">Low enrollment below</t>
  </si>
  <si>
    <t xml:space="preserve">Batches with a fill rate below this are flagged LOW ENROLLMENT</t>
  </si>
  <si>
    <t xml:space="preserve">Course list (used by the drop-down)</t>
  </si>
  <si>
    <t xml:space="preserve">All data in this workbook is fictional practice data.</t>
  </si>
  <si>
    <t xml:space="preserve">Batch Operations Tracker (fictional data)</t>
  </si>
  <si>
    <t xml:space="preserve">Yellow columns are inputs. Fill Rate, Revenue and Status are formulas.</t>
  </si>
  <si>
    <t xml:space="preserve">Batch ID</t>
  </si>
  <si>
    <t xml:space="preserve">Educator</t>
  </si>
  <si>
    <t xml:space="preserve">Start Date</t>
  </si>
  <si>
    <t xml:space="preserve">Price (INR)</t>
  </si>
  <si>
    <t xml:space="preserve">Status</t>
  </si>
  <si>
    <t xml:space="preserve">B01</t>
  </si>
  <si>
    <t xml:space="preserve">Rohit Menon</t>
  </si>
  <si>
    <t xml:space="preserve">B02</t>
  </si>
  <si>
    <t xml:space="preserve">Kavya Reddy</t>
  </si>
  <si>
    <t xml:space="preserve">B03</t>
  </si>
  <si>
    <t xml:space="preserve">Arjun Bhat</t>
  </si>
  <si>
    <t xml:space="preserve">B04</t>
  </si>
  <si>
    <t xml:space="preserve">Neha Kulkarni</t>
  </si>
  <si>
    <t xml:space="preserve">B05</t>
  </si>
  <si>
    <t xml:space="preserve">Sameer Joshi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</si>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</sst>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%"/>
    <numFmt numFmtId="168" formatCode="0%"/>
    <numFmt numFmtId="169" formatCode="dd\-m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D29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D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Seats vs enrolled by course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Seats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Dashboard!$A$14:$A$18</c:f>
              <c:strCache>
                <c:ptCount val="5"/>
                <c:pt idx="0">
                  <c:v>Prelims Foundation</c:v>
                </c:pt>
                <c:pt idx="1">
                  <c:v>Mains Answer Writing</c:v>
                </c:pt>
                <c:pt idx="2">
                  <c:v>Essay and Ethics</c:v>
                </c:pt>
                <c:pt idx="3">
                  <c:v>Current Affairs Weekly</c:v>
                </c:pt>
                <c:pt idx="4">
                  <c:v>Optional - Geography</c:v>
                </c:pt>
              </c:strCache>
            </c:strRef>
          </c:cat>
          <c:val>
            <c:numRef>
              <c:f>Dashboard!$C$14:$C$18</c:f>
              <c:numCache>
                <c:formatCode>#,##0</c:formatCode>
                <c:ptCount val="5"/>
                <c:pt idx="0">
                  <c:v>850</c:v>
                </c:pt>
                <c:pt idx="1">
                  <c:v>420</c:v>
                </c:pt>
                <c:pt idx="2">
                  <c:v>300</c:v>
                </c:pt>
                <c:pt idx="3">
                  <c:v>1150</c:v>
                </c:pt>
                <c:pt idx="4">
                  <c:v>220</c:v>
                </c:pt>
              </c:numCache>
            </c:numRef>
          </c:val>
        </c:ser>
        <c:ser>
          <c:idx val="1"/>
          <c:order val="1"/>
          <c:tx>
            <c:strRef>
              <c:f>Dashboard!D13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Dashboard!$A$14:$A$18</c:f>
              <c:strCache>
                <c:ptCount val="5"/>
                <c:pt idx="0">
                  <c:v>Prelims Foundation</c:v>
                </c:pt>
                <c:pt idx="1">
                  <c:v>Mains Answer Writing</c:v>
                </c:pt>
                <c:pt idx="2">
                  <c:v>Essay and Ethics</c:v>
                </c:pt>
                <c:pt idx="3">
                  <c:v>Current Affairs Weekly</c:v>
                </c:pt>
                <c:pt idx="4">
                  <c:v>Optional - Geography</c:v>
                </c:pt>
              </c:strCache>
            </c:strRef>
          </c:cat>
          <c:val>
            <c:numRef>
              <c:f>Dashboard!$D$14:$D$18</c:f>
              <c:numCache>
                <c:formatCode>#,##0</c:formatCode>
                <c:ptCount val="5"/>
                <c:pt idx="0">
                  <c:v>644</c:v>
                </c:pt>
                <c:pt idx="1">
                  <c:v>241</c:v>
                </c:pt>
                <c:pt idx="2">
                  <c:v>232</c:v>
                </c:pt>
                <c:pt idx="3">
                  <c:v>848</c:v>
                </c:pt>
                <c:pt idx="4">
                  <c:v>163</c:v>
                </c:pt>
              </c:numCache>
            </c:numRef>
          </c:val>
        </c:ser>
        <c:gapWidth val="150"/>
        <c:overlap val="0"/>
        <c:axId val="70703913"/>
        <c:axId val="40851663"/>
      </c:barChart>
      <c:catAx>
        <c:axId val="707039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Course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51663"/>
        <c:crosses val="autoZero"/>
        <c:auto val="1"/>
        <c:lblAlgn val="ctr"/>
        <c:lblOffset val="100"/>
        <c:noMultiLvlLbl val="0"/>
      </c:catAx>
      <c:valAx>
        <c:axId val="40851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039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160920</xdr:rowOff>
    </xdr:from>
    <xdr:to>
      <xdr:col>6</xdr:col>
      <xdr:colOff>10080</xdr:colOff>
      <xdr:row>34</xdr:row>
      <xdr:rowOff>182880</xdr:rowOff>
    </xdr:to>
    <xdr:graphicFrame>
      <xdr:nvGraphicFramePr>
        <xdr:cNvPr id="0" name="Chart 1"/>
        <xdr:cNvGraphicFramePr/>
      </xdr:nvGraphicFramePr>
      <xdr:xfrm>
        <a:off x="0" y="4000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f aca="false">COUNTA(Batches!$A$6:$A$20)</f>
        <v>15</v>
      </c>
    </row>
    <row r="5" customFormat="false" ht="15" hidden="false" customHeight="false" outlineLevel="0" collapsed="false">
      <c r="A5" s="3" t="s">
        <v>4</v>
      </c>
      <c r="B5" s="5" t="n">
        <f aca="false">SUM(Batches!$E$6:$E$20)</f>
        <v>2940</v>
      </c>
    </row>
    <row r="6" customFormat="false" ht="15" hidden="false" customHeight="false" outlineLevel="0" collapsed="false">
      <c r="A6" s="3" t="s">
        <v>5</v>
      </c>
      <c r="B6" s="5" t="n">
        <f aca="false">SUM(Batches!$F$6:$F$20)</f>
        <v>2128</v>
      </c>
    </row>
    <row r="7" customFormat="false" ht="15" hidden="false" customHeight="false" outlineLevel="0" collapsed="false">
      <c r="A7" s="3" t="s">
        <v>6</v>
      </c>
      <c r="B7" s="6" t="n">
        <f aca="false">IF(B5=0,0,B6/B5)</f>
        <v>0.723809523809524</v>
      </c>
    </row>
    <row r="8" customFormat="false" ht="15" hidden="false" customHeight="false" outlineLevel="0" collapsed="false">
      <c r="A8" s="3" t="s">
        <v>7</v>
      </c>
      <c r="B8" s="5" t="n">
        <f aca="false">SUM(Batches!$I$6:$I$20)</f>
        <v>9274672</v>
      </c>
    </row>
    <row r="9" customFormat="false" ht="15" hidden="false" customHeight="false" outlineLevel="0" collapsed="false">
      <c r="A9" s="3" t="s">
        <v>8</v>
      </c>
      <c r="B9" s="4" t="n">
        <f aca="false">COUNTIF(Batches!$J$6:$J$20,"LOW ENROLLMENT")</f>
        <v>6</v>
      </c>
    </row>
    <row r="10" customFormat="false" ht="15" hidden="false" customHeight="false" outlineLevel="0" collapsed="false">
      <c r="A10" s="3" t="s">
        <v>9</v>
      </c>
      <c r="B10" s="4" t="n">
        <f aca="false">COUNTIF(Batches!$J$6:$J$20,"FULL")</f>
        <v>3</v>
      </c>
    </row>
    <row r="13" customFormat="false" ht="30" hidden="false" customHeight="true" outlineLevel="0" collapsed="false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</row>
    <row r="14" customFormat="false" ht="15" hidden="false" customHeight="false" outlineLevel="0" collapsed="false">
      <c r="A14" s="7" t="s">
        <v>17</v>
      </c>
      <c r="B14" s="7" t="n">
        <f aca="false">COUNTIF(Batches!$B$6:$B$20,A14)</f>
        <v>3</v>
      </c>
      <c r="C14" s="5" t="n">
        <f aca="false">SUMIF(Batches!$B$6:$B$20,A14,Batches!$E$6:$E$20)</f>
        <v>850</v>
      </c>
      <c r="D14" s="5" t="n">
        <f aca="false">SUMIF(Batches!$B$6:$B$20,A14,Batches!$F$6:$F$20)</f>
        <v>644</v>
      </c>
      <c r="E14" s="6" t="n">
        <f aca="false">IF(C14=0,0,D14/C14)</f>
        <v>0.75764705882353</v>
      </c>
      <c r="F14" s="5" t="n">
        <f aca="false">SUMIF(Batches!$B$6:$B$20,A14,Batches!$I$6:$I$20)</f>
        <v>3344356</v>
      </c>
      <c r="G14" s="7" t="n">
        <f aca="false">COUNTIFS(Batches!$B$6:$B$20,A14,Batches!$J$6:$J$20,"LOW ENROLLMENT")</f>
        <v>1</v>
      </c>
    </row>
    <row r="15" customFormat="false" ht="15" hidden="false" customHeight="false" outlineLevel="0" collapsed="false">
      <c r="A15" s="7" t="s">
        <v>18</v>
      </c>
      <c r="B15" s="7" t="n">
        <f aca="false">COUNTIF(Batches!$B$6:$B$20,A15)</f>
        <v>3</v>
      </c>
      <c r="C15" s="5" t="n">
        <f aca="false">SUMIF(Batches!$B$6:$B$20,A15,Batches!$E$6:$E$20)</f>
        <v>420</v>
      </c>
      <c r="D15" s="5" t="n">
        <f aca="false">SUMIF(Batches!$B$6:$B$20,A15,Batches!$F$6:$F$20)</f>
        <v>241</v>
      </c>
      <c r="E15" s="6" t="n">
        <f aca="false">IF(C15=0,0,D15/C15)</f>
        <v>0.573809523809524</v>
      </c>
      <c r="F15" s="5" t="n">
        <f aca="false">SUMIF(Batches!$B$6:$B$20,A15,Batches!$I$6:$I$20)</f>
        <v>1710759</v>
      </c>
      <c r="G15" s="7" t="n">
        <f aca="false">COUNTIFS(Batches!$B$6:$B$20,A15,Batches!$J$6:$J$20,"LOW ENROLLMENT")</f>
        <v>2</v>
      </c>
    </row>
    <row r="16" customFormat="false" ht="15" hidden="false" customHeight="false" outlineLevel="0" collapsed="false">
      <c r="A16" s="7" t="s">
        <v>19</v>
      </c>
      <c r="B16" s="7" t="n">
        <f aca="false">COUNTIF(Batches!$B$6:$B$20,A16)</f>
        <v>3</v>
      </c>
      <c r="C16" s="5" t="n">
        <f aca="false">SUMIF(Batches!$B$6:$B$20,A16,Batches!$E$6:$E$20)</f>
        <v>300</v>
      </c>
      <c r="D16" s="5" t="n">
        <f aca="false">SUMIF(Batches!$B$6:$B$20,A16,Batches!$F$6:$F$20)</f>
        <v>232</v>
      </c>
      <c r="E16" s="6" t="n">
        <f aca="false">IF(C16=0,0,D16/C16)</f>
        <v>0.773333333333333</v>
      </c>
      <c r="F16" s="5" t="n">
        <f aca="false">SUMIF(Batches!$B$6:$B$20,A16,Batches!$I$6:$I$20)</f>
        <v>957768</v>
      </c>
      <c r="G16" s="7" t="n">
        <f aca="false">COUNTIFS(Batches!$B$6:$B$20,A16,Batches!$J$6:$J$20,"LOW ENROLLMENT")</f>
        <v>1</v>
      </c>
    </row>
    <row r="17" customFormat="false" ht="15" hidden="false" customHeight="false" outlineLevel="0" collapsed="false">
      <c r="A17" s="7" t="s">
        <v>20</v>
      </c>
      <c r="B17" s="7" t="n">
        <f aca="false">COUNTIF(Batches!$B$6:$B$20,A17)</f>
        <v>3</v>
      </c>
      <c r="C17" s="5" t="n">
        <f aca="false">SUMIF(Batches!$B$6:$B$20,A17,Batches!$E$6:$E$20)</f>
        <v>1150</v>
      </c>
      <c r="D17" s="5" t="n">
        <f aca="false">SUMIF(Batches!$B$6:$B$20,A17,Batches!$F$6:$F$20)</f>
        <v>848</v>
      </c>
      <c r="E17" s="6" t="n">
        <f aca="false">IF(C17=0,0,D17/C17)</f>
        <v>0.737391304347826</v>
      </c>
      <c r="F17" s="5" t="n">
        <f aca="false">SUMIF(Batches!$B$6:$B$20,A17,Batches!$I$6:$I$20)</f>
        <v>1764952</v>
      </c>
      <c r="G17" s="7" t="n">
        <f aca="false">COUNTIFS(Batches!$B$6:$B$20,A17,Batches!$J$6:$J$20,"LOW ENROLLMENT")</f>
        <v>1</v>
      </c>
    </row>
    <row r="18" customFormat="false" ht="15" hidden="false" customHeight="false" outlineLevel="0" collapsed="false">
      <c r="A18" s="7" t="s">
        <v>21</v>
      </c>
      <c r="B18" s="7" t="n">
        <f aca="false">COUNTIF(Batches!$B$6:$B$20,A18)</f>
        <v>3</v>
      </c>
      <c r="C18" s="5" t="n">
        <f aca="false">SUMIF(Batches!$B$6:$B$20,A18,Batches!$E$6:$E$20)</f>
        <v>220</v>
      </c>
      <c r="D18" s="5" t="n">
        <f aca="false">SUMIF(Batches!$B$6:$B$20,A18,Batches!$F$6:$F$20)</f>
        <v>163</v>
      </c>
      <c r="E18" s="6" t="n">
        <f aca="false">IF(C18=0,0,D18/C18)</f>
        <v>0.740909090909091</v>
      </c>
      <c r="F18" s="5" t="n">
        <f aca="false">SUMIF(Batches!$B$6:$B$20,A18,Batches!$I$6:$I$20)</f>
        <v>1496837</v>
      </c>
      <c r="G18" s="7" t="n">
        <f aca="false">COUNTIFS(Batches!$B$6:$B$20,A18,Batches!$J$6:$J$20,"LOW ENROLLMENT")</f>
        <v>1</v>
      </c>
    </row>
    <row r="19" customFormat="false" ht="15" hidden="false" customHeight="false" outlineLevel="0" collapsed="false">
      <c r="A19" s="3" t="s">
        <v>22</v>
      </c>
      <c r="B19" s="7" t="str">
        <f aca="false">IF(SUM(B14:B18)=B4,"OK","MISMATCH")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6.15" hidden="false" customHeight="false" outlineLevel="0" collapsed="false">
      <c r="A1" s="8" t="s">
        <v>23</v>
      </c>
    </row>
    <row r="2" customFormat="false" ht="15" hidden="false" customHeight="false" outlineLevel="0" collapsed="false">
      <c r="A2" s="2" t="s">
        <v>24</v>
      </c>
      <c r="B2" s="2" t="s">
        <v>2</v>
      </c>
      <c r="C2" s="2" t="s">
        <v>25</v>
      </c>
    </row>
    <row r="3" customFormat="false" ht="15" hidden="false" customHeight="false" outlineLevel="0" collapsed="false">
      <c r="A3" s="7" t="s">
        <v>26</v>
      </c>
      <c r="B3" s="9" t="n">
        <v>0.5</v>
      </c>
      <c r="C3" s="7" t="s">
        <v>27</v>
      </c>
    </row>
    <row r="5" customFormat="false" ht="15" hidden="false" customHeight="false" outlineLevel="0" collapsed="false">
      <c r="A5" s="10" t="s">
        <v>28</v>
      </c>
    </row>
    <row r="6" customFormat="false" ht="15" hidden="false" customHeight="false" outlineLevel="0" collapsed="false">
      <c r="A6" s="11" t="s">
        <v>17</v>
      </c>
    </row>
    <row r="7" customFormat="false" ht="15" hidden="false" customHeight="false" outlineLevel="0" collapsed="false">
      <c r="A7" s="11" t="s">
        <v>18</v>
      </c>
    </row>
    <row r="8" customFormat="false" ht="15" hidden="false" customHeight="false" outlineLevel="0" collapsed="false">
      <c r="A8" s="11" t="s">
        <v>19</v>
      </c>
    </row>
    <row r="9" customFormat="false" ht="15" hidden="false" customHeight="false" outlineLevel="0" collapsed="false">
      <c r="A9" s="11" t="s">
        <v>20</v>
      </c>
    </row>
    <row r="10" customFormat="false" ht="15" hidden="false" customHeight="false" outlineLevel="0" collapsed="false">
      <c r="A10" s="11" t="s">
        <v>21</v>
      </c>
    </row>
    <row r="12" customFormat="false" ht="15" hidden="false" customHeight="false" outlineLevel="0" collapsed="false">
      <c r="A12" s="1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12" t="s">
        <v>31</v>
      </c>
    </row>
    <row r="5" customFormat="false" ht="30" hidden="false" customHeight="true" outlineLevel="0" collapsed="false">
      <c r="A5" s="2" t="s">
        <v>32</v>
      </c>
      <c r="B5" s="2" t="s">
        <v>10</v>
      </c>
      <c r="C5" s="2" t="s">
        <v>33</v>
      </c>
      <c r="D5" s="2" t="s">
        <v>34</v>
      </c>
      <c r="E5" s="2" t="s">
        <v>12</v>
      </c>
      <c r="F5" s="2" t="s">
        <v>13</v>
      </c>
      <c r="G5" s="2" t="s">
        <v>35</v>
      </c>
      <c r="H5" s="2" t="s">
        <v>14</v>
      </c>
      <c r="I5" s="2" t="s">
        <v>15</v>
      </c>
      <c r="J5" s="2" t="s">
        <v>36</v>
      </c>
    </row>
    <row r="6" customFormat="false" ht="15" hidden="false" customHeight="false" outlineLevel="0" collapsed="false">
      <c r="A6" s="11" t="s">
        <v>37</v>
      </c>
      <c r="B6" s="11" t="s">
        <v>17</v>
      </c>
      <c r="C6" s="11" t="s">
        <v>38</v>
      </c>
      <c r="D6" s="13" t="n">
        <v>46328</v>
      </c>
      <c r="E6" s="11" t="n">
        <v>300</v>
      </c>
      <c r="F6" s="11" t="n">
        <v>276</v>
      </c>
      <c r="G6" s="14" t="n">
        <v>4999</v>
      </c>
      <c r="H6" s="6" t="n">
        <f aca="false">IF(E6=0,0,F6/E6)</f>
        <v>0.92</v>
      </c>
      <c r="I6" s="5" t="n">
        <f aca="false">F6*G6</f>
        <v>1379724</v>
      </c>
      <c r="J6" s="7" t="str">
        <f aca="false">IF(F6&gt;=E6,"FULL",IF(H6&lt;Settings!$B$3,"LOW ENROLLMENT","ON TRACK"))</f>
        <v>ON TRACK</v>
      </c>
    </row>
    <row r="7" customFormat="false" ht="15" hidden="false" customHeight="false" outlineLevel="0" collapsed="false">
      <c r="A7" s="11" t="s">
        <v>39</v>
      </c>
      <c r="B7" s="11" t="s">
        <v>17</v>
      </c>
      <c r="C7" s="11" t="s">
        <v>40</v>
      </c>
      <c r="D7" s="13" t="n">
        <v>46335</v>
      </c>
      <c r="E7" s="11" t="n">
        <v>300</v>
      </c>
      <c r="F7" s="11" t="n">
        <v>118</v>
      </c>
      <c r="G7" s="14" t="n">
        <v>4999</v>
      </c>
      <c r="H7" s="6" t="n">
        <f aca="false">IF(E7=0,0,F7/E7)</f>
        <v>0.393333333333333</v>
      </c>
      <c r="I7" s="5" t="n">
        <f aca="false">F7*G7</f>
        <v>589882</v>
      </c>
      <c r="J7" s="7" t="str">
        <f aca="false">IF(F7&gt;=E7,"FULL",IF(H7&lt;Settings!$B$3,"LOW ENROLLMENT","ON TRACK"))</f>
        <v>LOW ENROLLMENT</v>
      </c>
    </row>
    <row r="8" customFormat="false" ht="15" hidden="false" customHeight="false" outlineLevel="0" collapsed="false">
      <c r="A8" s="11" t="s">
        <v>41</v>
      </c>
      <c r="B8" s="11" t="s">
        <v>17</v>
      </c>
      <c r="C8" s="11" t="s">
        <v>42</v>
      </c>
      <c r="D8" s="13" t="n">
        <v>46342</v>
      </c>
      <c r="E8" s="11" t="n">
        <v>250</v>
      </c>
      <c r="F8" s="11" t="n">
        <v>250</v>
      </c>
      <c r="G8" s="14" t="n">
        <v>5499</v>
      </c>
      <c r="H8" s="6" t="n">
        <f aca="false">IF(E8=0,0,F8/E8)</f>
        <v>1</v>
      </c>
      <c r="I8" s="5" t="n">
        <f aca="false">F8*G8</f>
        <v>1374750</v>
      </c>
      <c r="J8" s="7" t="str">
        <f aca="false">IF(F8&gt;=E8,"FULL",IF(H8&lt;Settings!$B$3,"LOW ENROLLMENT","ON TRACK"))</f>
        <v>FULL</v>
      </c>
    </row>
    <row r="9" customFormat="false" ht="15" hidden="false" customHeight="false" outlineLevel="0" collapsed="false">
      <c r="A9" s="11" t="s">
        <v>43</v>
      </c>
      <c r="B9" s="11" t="s">
        <v>18</v>
      </c>
      <c r="C9" s="11" t="s">
        <v>44</v>
      </c>
      <c r="D9" s="13" t="n">
        <v>46331</v>
      </c>
      <c r="E9" s="11" t="n">
        <v>150</v>
      </c>
      <c r="F9" s="11" t="n">
        <v>132</v>
      </c>
      <c r="G9" s="14" t="n">
        <v>6999</v>
      </c>
      <c r="H9" s="6" t="n">
        <f aca="false">IF(E9=0,0,F9/E9)</f>
        <v>0.88</v>
      </c>
      <c r="I9" s="5" t="n">
        <f aca="false">F9*G9</f>
        <v>923868</v>
      </c>
      <c r="J9" s="7" t="str">
        <f aca="false">IF(F9&gt;=E9,"FULL",IF(H9&lt;Settings!$B$3,"LOW ENROLLMENT","ON TRACK"))</f>
        <v>ON TRACK</v>
      </c>
    </row>
    <row r="10" customFormat="false" ht="15" hidden="false" customHeight="false" outlineLevel="0" collapsed="false">
      <c r="A10" s="11" t="s">
        <v>45</v>
      </c>
      <c r="B10" s="11" t="s">
        <v>18</v>
      </c>
      <c r="C10" s="11" t="s">
        <v>46</v>
      </c>
      <c r="D10" s="13" t="n">
        <v>46338</v>
      </c>
      <c r="E10" s="11" t="n">
        <v>150</v>
      </c>
      <c r="F10" s="11" t="n">
        <v>61</v>
      </c>
      <c r="G10" s="14" t="n">
        <v>6999</v>
      </c>
      <c r="H10" s="6" t="n">
        <f aca="false">IF(E10=0,0,F10/E10)</f>
        <v>0.406666666666667</v>
      </c>
      <c r="I10" s="5" t="n">
        <f aca="false">F10*G10</f>
        <v>426939</v>
      </c>
      <c r="J10" s="7" t="str">
        <f aca="false">IF(F10&gt;=E10,"FULL",IF(H10&lt;Settings!$B$3,"LOW ENROLLMENT","ON TRACK"))</f>
        <v>LOW ENROLLMENT</v>
      </c>
    </row>
    <row r="11" customFormat="false" ht="15" hidden="false" customHeight="false" outlineLevel="0" collapsed="false">
      <c r="A11" s="11" t="s">
        <v>47</v>
      </c>
      <c r="B11" s="11" t="s">
        <v>18</v>
      </c>
      <c r="C11" s="11" t="s">
        <v>38</v>
      </c>
      <c r="D11" s="13" t="n">
        <v>46345</v>
      </c>
      <c r="E11" s="11" t="n">
        <v>120</v>
      </c>
      <c r="F11" s="11" t="n">
        <v>48</v>
      </c>
      <c r="G11" s="14" t="n">
        <v>7499</v>
      </c>
      <c r="H11" s="6" t="n">
        <f aca="false">IF(E11=0,0,F11/E11)</f>
        <v>0.4</v>
      </c>
      <c r="I11" s="5" t="n">
        <f aca="false">F11*G11</f>
        <v>359952</v>
      </c>
      <c r="J11" s="7" t="str">
        <f aca="false">IF(F11&gt;=E11,"FULL",IF(H11&lt;Settings!$B$3,"LOW ENROLLMENT","ON TRACK"))</f>
        <v>LOW ENROLLMENT</v>
      </c>
    </row>
    <row r="12" customFormat="false" ht="15" hidden="false" customHeight="false" outlineLevel="0" collapsed="false">
      <c r="A12" s="11" t="s">
        <v>48</v>
      </c>
      <c r="B12" s="11" t="s">
        <v>19</v>
      </c>
      <c r="C12" s="11" t="s">
        <v>40</v>
      </c>
      <c r="D12" s="13" t="n">
        <v>46329</v>
      </c>
      <c r="E12" s="11" t="n">
        <v>100</v>
      </c>
      <c r="F12" s="11" t="n">
        <v>95</v>
      </c>
      <c r="G12" s="14" t="n">
        <v>3999</v>
      </c>
      <c r="H12" s="6" t="n">
        <f aca="false">IF(E12=0,0,F12/E12)</f>
        <v>0.95</v>
      </c>
      <c r="I12" s="5" t="n">
        <f aca="false">F12*G12</f>
        <v>379905</v>
      </c>
      <c r="J12" s="7" t="str">
        <f aca="false">IF(F12&gt;=E12,"FULL",IF(H12&lt;Settings!$B$3,"LOW ENROLLMENT","ON TRACK"))</f>
        <v>ON TRACK</v>
      </c>
    </row>
    <row r="13" customFormat="false" ht="15" hidden="false" customHeight="false" outlineLevel="0" collapsed="false">
      <c r="A13" s="11" t="s">
        <v>49</v>
      </c>
      <c r="B13" s="11" t="s">
        <v>19</v>
      </c>
      <c r="C13" s="11" t="s">
        <v>44</v>
      </c>
      <c r="D13" s="13" t="n">
        <v>46336</v>
      </c>
      <c r="E13" s="11" t="n">
        <v>100</v>
      </c>
      <c r="F13" s="11" t="n">
        <v>37</v>
      </c>
      <c r="G13" s="14" t="n">
        <v>3999</v>
      </c>
      <c r="H13" s="6" t="n">
        <f aca="false">IF(E13=0,0,F13/E13)</f>
        <v>0.37</v>
      </c>
      <c r="I13" s="5" t="n">
        <f aca="false">F13*G13</f>
        <v>147963</v>
      </c>
      <c r="J13" s="7" t="str">
        <f aca="false">IF(F13&gt;=E13,"FULL",IF(H13&lt;Settings!$B$3,"LOW ENROLLMENT","ON TRACK"))</f>
        <v>LOW ENROLLMENT</v>
      </c>
    </row>
    <row r="14" customFormat="false" ht="15" hidden="false" customHeight="false" outlineLevel="0" collapsed="false">
      <c r="A14" s="11" t="s">
        <v>50</v>
      </c>
      <c r="B14" s="11" t="s">
        <v>19</v>
      </c>
      <c r="C14" s="11" t="s">
        <v>42</v>
      </c>
      <c r="D14" s="13" t="n">
        <v>46343</v>
      </c>
      <c r="E14" s="11" t="n">
        <v>100</v>
      </c>
      <c r="F14" s="11" t="n">
        <v>100</v>
      </c>
      <c r="G14" s="14" t="n">
        <v>4299</v>
      </c>
      <c r="H14" s="6" t="n">
        <f aca="false">IF(E14=0,0,F14/E14)</f>
        <v>1</v>
      </c>
      <c r="I14" s="5" t="n">
        <f aca="false">F14*G14</f>
        <v>429900</v>
      </c>
      <c r="J14" s="7" t="str">
        <f aca="false">IF(F14&gt;=E14,"FULL",IF(H14&lt;Settings!$B$3,"LOW ENROLLMENT","ON TRACK"))</f>
        <v>FULL</v>
      </c>
    </row>
    <row r="15" customFormat="false" ht="15" hidden="false" customHeight="false" outlineLevel="0" collapsed="false">
      <c r="A15" s="11" t="s">
        <v>51</v>
      </c>
      <c r="B15" s="11" t="s">
        <v>20</v>
      </c>
      <c r="C15" s="11" t="s">
        <v>46</v>
      </c>
      <c r="D15" s="13" t="n">
        <v>46330</v>
      </c>
      <c r="E15" s="11" t="n">
        <v>400</v>
      </c>
      <c r="F15" s="11" t="n">
        <v>312</v>
      </c>
      <c r="G15" s="14" t="n">
        <v>1999</v>
      </c>
      <c r="H15" s="6" t="n">
        <f aca="false">IF(E15=0,0,F15/E15)</f>
        <v>0.78</v>
      </c>
      <c r="I15" s="5" t="n">
        <f aca="false">F15*G15</f>
        <v>623688</v>
      </c>
      <c r="J15" s="7" t="str">
        <f aca="false">IF(F15&gt;=E15,"FULL",IF(H15&lt;Settings!$B$3,"LOW ENROLLMENT","ON TRACK"))</f>
        <v>ON TRACK</v>
      </c>
    </row>
    <row r="16" customFormat="false" ht="15" hidden="false" customHeight="false" outlineLevel="0" collapsed="false">
      <c r="A16" s="11" t="s">
        <v>52</v>
      </c>
      <c r="B16" s="11" t="s">
        <v>20</v>
      </c>
      <c r="C16" s="11" t="s">
        <v>38</v>
      </c>
      <c r="D16" s="13" t="n">
        <v>46337</v>
      </c>
      <c r="E16" s="11" t="n">
        <v>400</v>
      </c>
      <c r="F16" s="11" t="n">
        <v>187</v>
      </c>
      <c r="G16" s="14" t="n">
        <v>1999</v>
      </c>
      <c r="H16" s="6" t="n">
        <f aca="false">IF(E16=0,0,F16/E16)</f>
        <v>0.4675</v>
      </c>
      <c r="I16" s="5" t="n">
        <f aca="false">F16*G16</f>
        <v>373813</v>
      </c>
      <c r="J16" s="7" t="str">
        <f aca="false">IF(F16&gt;=E16,"FULL",IF(H16&lt;Settings!$B$3,"LOW ENROLLMENT","ON TRACK"))</f>
        <v>LOW ENROLLMENT</v>
      </c>
    </row>
    <row r="17" customFormat="false" ht="15" hidden="false" customHeight="false" outlineLevel="0" collapsed="false">
      <c r="A17" s="11" t="s">
        <v>53</v>
      </c>
      <c r="B17" s="11" t="s">
        <v>20</v>
      </c>
      <c r="C17" s="11" t="s">
        <v>40</v>
      </c>
      <c r="D17" s="13" t="n">
        <v>46344</v>
      </c>
      <c r="E17" s="11" t="n">
        <v>350</v>
      </c>
      <c r="F17" s="11" t="n">
        <v>349</v>
      </c>
      <c r="G17" s="14" t="n">
        <v>2199</v>
      </c>
      <c r="H17" s="6" t="n">
        <f aca="false">IF(E17=0,0,F17/E17)</f>
        <v>0.997142857142857</v>
      </c>
      <c r="I17" s="5" t="n">
        <f aca="false">F17*G17</f>
        <v>767451</v>
      </c>
      <c r="J17" s="7" t="str">
        <f aca="false">IF(F17&gt;=E17,"FULL",IF(H17&lt;Settings!$B$3,"LOW ENROLLMENT","ON TRACK"))</f>
        <v>ON TRACK</v>
      </c>
    </row>
    <row r="18" customFormat="false" ht="15" hidden="false" customHeight="false" outlineLevel="0" collapsed="false">
      <c r="A18" s="11" t="s">
        <v>54</v>
      </c>
      <c r="B18" s="11" t="s">
        <v>21</v>
      </c>
      <c r="C18" s="11" t="s">
        <v>42</v>
      </c>
      <c r="D18" s="13" t="n">
        <v>46332</v>
      </c>
      <c r="E18" s="11" t="n">
        <v>80</v>
      </c>
      <c r="F18" s="11" t="n">
        <v>74</v>
      </c>
      <c r="G18" s="14" t="n">
        <v>8999</v>
      </c>
      <c r="H18" s="6" t="n">
        <f aca="false">IF(E18=0,0,F18/E18)</f>
        <v>0.925</v>
      </c>
      <c r="I18" s="5" t="n">
        <f aca="false">F18*G18</f>
        <v>665926</v>
      </c>
      <c r="J18" s="7" t="str">
        <f aca="false">IF(F18&gt;=E18,"FULL",IF(H18&lt;Settings!$B$3,"LOW ENROLLMENT","ON TRACK"))</f>
        <v>ON TRACK</v>
      </c>
    </row>
    <row r="19" customFormat="false" ht="15" hidden="false" customHeight="false" outlineLevel="0" collapsed="false">
      <c r="A19" s="11" t="s">
        <v>55</v>
      </c>
      <c r="B19" s="11" t="s">
        <v>21</v>
      </c>
      <c r="C19" s="11" t="s">
        <v>44</v>
      </c>
      <c r="D19" s="13" t="n">
        <v>46339</v>
      </c>
      <c r="E19" s="11" t="n">
        <v>80</v>
      </c>
      <c r="F19" s="11" t="n">
        <v>29</v>
      </c>
      <c r="G19" s="14" t="n">
        <v>8999</v>
      </c>
      <c r="H19" s="6" t="n">
        <f aca="false">IF(E19=0,0,F19/E19)</f>
        <v>0.3625</v>
      </c>
      <c r="I19" s="5" t="n">
        <f aca="false">F19*G19</f>
        <v>260971</v>
      </c>
      <c r="J19" s="7" t="str">
        <f aca="false">IF(F19&gt;=E19,"FULL",IF(H19&lt;Settings!$B$3,"LOW ENROLLMENT","ON TRACK"))</f>
        <v>LOW ENROLLMENT</v>
      </c>
    </row>
    <row r="20" customFormat="false" ht="15" hidden="false" customHeight="false" outlineLevel="0" collapsed="false">
      <c r="A20" s="11" t="s">
        <v>56</v>
      </c>
      <c r="B20" s="11" t="s">
        <v>21</v>
      </c>
      <c r="C20" s="11" t="s">
        <v>46</v>
      </c>
      <c r="D20" s="13" t="n">
        <v>46346</v>
      </c>
      <c r="E20" s="11" t="n">
        <v>60</v>
      </c>
      <c r="F20" s="11" t="n">
        <v>60</v>
      </c>
      <c r="G20" s="14" t="n">
        <v>9499</v>
      </c>
      <c r="H20" s="6" t="n">
        <f aca="false">IF(E20=0,0,F20/E20)</f>
        <v>1</v>
      </c>
      <c r="I20" s="5" t="n">
        <f aca="false">F20*G20</f>
        <v>569940</v>
      </c>
      <c r="J20" s="7" t="str">
        <f aca="false">IF(F20&gt;=E20,"FULL",IF(H20&lt;Settings!$B$3,"LOW ENROLLMENT","ON TRACK"))</f>
        <v>FULL</v>
      </c>
    </row>
  </sheetData>
  <conditionalFormatting sqref="J6:J20">
    <cfRule type="expression" priority="2" aboveAverage="0" equalAverage="0" bottom="0" percent="0" rank="0" text="" dxfId="0">
      <formula>J6="LOW ENROLLMENT"</formula>
    </cfRule>
    <cfRule type="expression" priority="3" aboveAverage="0" equalAverage="0" bottom="0" percent="0" rank="0" text="" dxfId="1">
      <formula>J6="FULL"</formula>
    </cfRule>
    <cfRule type="expression" priority="4" aboveAverage="0" equalAverage="0" bottom="0" percent="0" rank="0" text="" dxfId="2">
      <formula>J6="ON TRACK"</formula>
    </cfRule>
  </conditionalFormatting>
  <dataValidations count="3">
    <dataValidation allowBlank="false" error="Pick a course from the list" errorStyle="stop" errorTitle="Invalid course" operator="between" showDropDown="false" showErrorMessage="true" showInputMessage="false" sqref="B6:B20" type="list">
      <formula1>Settings!$A$6:$A$10</formula1>
      <formula2>0</formula2>
    </dataValidation>
    <dataValidation allowBlank="false" error="Enrolled must be a whole number from 0 up to the number of seats" errorStyle="stop" errorTitle="Invalid enrolled count" operator="between" showDropDown="false" showErrorMessage="true" showInputMessage="false" sqref="F6:F20" type="custom">
      <formula1>AND(ISNUMBER(F6),F6&gt;=0,F6&lt;=E6,F6=INT(F6))</formula1>
      <formula2>0</formula2>
    </dataValidation>
    <dataValidation allowBlank="false" error="Seats must be a positive whole number" errorStyle="stop" errorTitle="Invalid seats" operator="greaterThan" showDropDown="false" showErrorMessage="true" showInputMessage="false" sqref="E6:E2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2026-10-04T08:33:49Z</dcterms:created>
  <dc:creator>openpyxl</dc:creator>
  <dc:description/>
  <dc:language>en-US</dc:language>
  <cp:lastModifiedBy/>
  <dcterms:modified xsi:type="dcterms:W3CDTF">2026-10-04T08:33:51Z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